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82DBAE4B-8699-42D8-9874-3135033FE4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onthlyAttendance" sheetId="1" r:id="rId1"/>
  </sheets>
  <definedNames>
    <definedName name="monthNames">{"January";"February";"March";"April";"May";"June";"July";"August";"September";"October";"November";"December"}</definedName>
    <definedName name="_xlnm.Print_Area" localSheetId="0">MonthlyAttendance!$B$1:$AL$40</definedName>
    <definedName name="valuevx">42.314159</definedName>
    <definedName name="vertex42_copyright">"© 2008-2017 Vertex42 LLC"</definedName>
    <definedName name="vertex42_id">"class-attendance-monthly.xlsx"</definedName>
    <definedName name="vertex42_title">"Monthly Class Attendance Tracking Template"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37" i="1" l="1"/>
  <c r="AJ37" i="1"/>
  <c r="AK37" i="1"/>
  <c r="AL37" i="1"/>
  <c r="AL38" i="1"/>
  <c r="AK38" i="1"/>
  <c r="AJ38" i="1"/>
  <c r="AI38" i="1"/>
  <c r="AL36" i="1"/>
  <c r="AK36" i="1"/>
  <c r="AJ36" i="1"/>
  <c r="AI36" i="1"/>
  <c r="AL35" i="1"/>
  <c r="AK35" i="1"/>
  <c r="AJ35" i="1"/>
  <c r="AI35" i="1"/>
  <c r="AL34" i="1"/>
  <c r="AK34" i="1"/>
  <c r="AJ34" i="1"/>
  <c r="AI34" i="1"/>
  <c r="AL33" i="1"/>
  <c r="AK33" i="1"/>
  <c r="AJ33" i="1"/>
  <c r="AI33" i="1"/>
  <c r="AL32" i="1"/>
  <c r="AK32" i="1"/>
  <c r="AJ32" i="1"/>
  <c r="AI32" i="1"/>
  <c r="AL31" i="1"/>
  <c r="AK31" i="1"/>
  <c r="AJ31" i="1"/>
  <c r="AI31" i="1"/>
  <c r="AL30" i="1"/>
  <c r="AK30" i="1"/>
  <c r="AJ30" i="1"/>
  <c r="AI30" i="1"/>
  <c r="AL29" i="1"/>
  <c r="AK29" i="1"/>
  <c r="AJ29" i="1"/>
  <c r="AI29" i="1"/>
  <c r="AL28" i="1"/>
  <c r="AK28" i="1"/>
  <c r="AJ28" i="1"/>
  <c r="AI28" i="1"/>
  <c r="AL27" i="1"/>
  <c r="AK27" i="1"/>
  <c r="AJ27" i="1"/>
  <c r="AI27" i="1"/>
  <c r="AL26" i="1"/>
  <c r="AK26" i="1"/>
  <c r="AJ26" i="1"/>
  <c r="AI26" i="1"/>
  <c r="AL25" i="1"/>
  <c r="AK25" i="1"/>
  <c r="AJ25" i="1"/>
  <c r="AI25" i="1"/>
  <c r="AL24" i="1"/>
  <c r="AK24" i="1"/>
  <c r="AJ24" i="1"/>
  <c r="AI24" i="1"/>
  <c r="AL23" i="1"/>
  <c r="AK23" i="1"/>
  <c r="AJ23" i="1"/>
  <c r="AI23" i="1"/>
  <c r="AL22" i="1"/>
  <c r="AK22" i="1"/>
  <c r="AJ22" i="1"/>
  <c r="AI22" i="1"/>
  <c r="AL21" i="1"/>
  <c r="AK21" i="1"/>
  <c r="AJ21" i="1"/>
  <c r="AI21" i="1"/>
  <c r="AL20" i="1"/>
  <c r="AK20" i="1"/>
  <c r="AJ20" i="1"/>
  <c r="AI20" i="1"/>
  <c r="AL19" i="1"/>
  <c r="AK19" i="1"/>
  <c r="AJ19" i="1"/>
  <c r="AI19" i="1"/>
  <c r="AL18" i="1"/>
  <c r="AK18" i="1"/>
  <c r="AJ18" i="1"/>
  <c r="AI18" i="1"/>
  <c r="AL17" i="1"/>
  <c r="AK17" i="1"/>
  <c r="AJ17" i="1"/>
  <c r="AI17" i="1"/>
  <c r="AL16" i="1"/>
  <c r="AK16" i="1"/>
  <c r="AJ16" i="1"/>
  <c r="AI16" i="1"/>
  <c r="AL15" i="1"/>
  <c r="AK15" i="1"/>
  <c r="AJ15" i="1"/>
  <c r="AI15" i="1"/>
  <c r="AL14" i="1"/>
  <c r="AK14" i="1"/>
  <c r="AJ14" i="1"/>
  <c r="AI14" i="1"/>
  <c r="AL13" i="1"/>
  <c r="AK13" i="1"/>
  <c r="AJ13" i="1"/>
  <c r="AI13" i="1"/>
  <c r="AL12" i="1"/>
  <c r="AK12" i="1"/>
  <c r="AJ12" i="1"/>
  <c r="AI12" i="1"/>
  <c r="AL11" i="1"/>
  <c r="AK11" i="1"/>
  <c r="AJ11" i="1"/>
  <c r="AI11" i="1"/>
  <c r="AL10" i="1"/>
  <c r="AK10" i="1"/>
  <c r="AJ10" i="1"/>
  <c r="AI10" i="1"/>
  <c r="AL9" i="1"/>
  <c r="AK9" i="1"/>
  <c r="AJ9" i="1"/>
  <c r="AI9" i="1"/>
  <c r="AL8" i="1"/>
  <c r="AK8" i="1"/>
  <c r="AJ8" i="1"/>
  <c r="AI8" i="1"/>
  <c r="AI40" i="1" s="1"/>
  <c r="D7" i="1"/>
  <c r="D6" i="1" s="1"/>
  <c r="AJ40" i="1" l="1"/>
  <c r="AK40" i="1"/>
  <c r="AL40" i="1"/>
  <c r="E7" i="1"/>
  <c r="F7" i="1" l="1"/>
  <c r="E6" i="1"/>
  <c r="G7" i="1" l="1"/>
  <c r="F6" i="1"/>
  <c r="G6" i="1" l="1"/>
  <c r="H7" i="1"/>
  <c r="I7" i="1" l="1"/>
  <c r="H6" i="1"/>
  <c r="J7" i="1" l="1"/>
  <c r="I6" i="1"/>
  <c r="K7" i="1" l="1"/>
  <c r="J6" i="1"/>
  <c r="L7" i="1" l="1"/>
  <c r="K6" i="1"/>
  <c r="L6" i="1" l="1"/>
  <c r="M7" i="1"/>
  <c r="N7" i="1" l="1"/>
  <c r="M6" i="1"/>
  <c r="O7" i="1" l="1"/>
  <c r="N6" i="1"/>
  <c r="O6" i="1" l="1"/>
  <c r="P7" i="1"/>
  <c r="Q7" i="1" l="1"/>
  <c r="P6" i="1"/>
  <c r="R7" i="1" l="1"/>
  <c r="Q6" i="1"/>
  <c r="S7" i="1" l="1"/>
  <c r="R6" i="1"/>
  <c r="S6" i="1" l="1"/>
  <c r="T7" i="1"/>
  <c r="T6" i="1" l="1"/>
  <c r="U7" i="1"/>
  <c r="V7" i="1" l="1"/>
  <c r="U6" i="1"/>
  <c r="W7" i="1" l="1"/>
  <c r="V6" i="1"/>
  <c r="X7" i="1" l="1"/>
  <c r="W6" i="1"/>
  <c r="Y7" i="1" l="1"/>
  <c r="X6" i="1"/>
  <c r="Z7" i="1" l="1"/>
  <c r="Y6" i="1"/>
  <c r="AA7" i="1" l="1"/>
  <c r="Z6" i="1"/>
  <c r="AA6" i="1" l="1"/>
  <c r="AB7" i="1"/>
  <c r="AC7" i="1" l="1"/>
  <c r="AB6" i="1"/>
  <c r="AD7" i="1" l="1"/>
  <c r="AC6" i="1"/>
  <c r="AE7" i="1" l="1"/>
  <c r="AD6" i="1"/>
  <c r="AH7" i="1" l="1"/>
  <c r="AH6" i="1" s="1"/>
  <c r="AE6" i="1"/>
  <c r="AG7" i="1"/>
  <c r="AG6" i="1" s="1"/>
  <c r="AF7" i="1"/>
  <c r="AF6" i="1" s="1"/>
</calcChain>
</file>

<file path=xl/sharedStrings.xml><?xml version="1.0" encoding="utf-8"?>
<sst xmlns="http://schemas.openxmlformats.org/spreadsheetml/2006/main" count="22" uniqueCount="22">
  <si>
    <t>Monthly Class Attendance</t>
  </si>
  <si>
    <t>Teacher</t>
  </si>
  <si>
    <t>Course</t>
  </si>
  <si>
    <t>Month</t>
  </si>
  <si>
    <t>August</t>
  </si>
  <si>
    <t>Weekend:</t>
  </si>
  <si>
    <t>Sat-Sun</t>
  </si>
  <si>
    <t>Room</t>
  </si>
  <si>
    <t>Period/Time</t>
  </si>
  <si>
    <t>Year</t>
  </si>
  <si>
    <t>Student</t>
  </si>
  <si>
    <t>Totals</t>
  </si>
  <si>
    <t>ID</t>
  </si>
  <si>
    <t>Name</t>
  </si>
  <si>
    <t>U</t>
  </si>
  <si>
    <t>E</t>
  </si>
  <si>
    <t>P</t>
  </si>
  <si>
    <t xml:space="preserve">  ← Insert a new row ABOVE this one: Right-click on the row number, select Insert, then press Ctrl+d.</t>
  </si>
  <si>
    <t>[42]</t>
  </si>
  <si>
    <t>CTU - Naga</t>
  </si>
  <si>
    <t>Enter: L = Late,  U = Unexcused,  E = Excused,  or P = Present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</si>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</sst>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7" x14ac:knownFonts="1">
    <font>
      <sz val="10"/>
      <color rgb="FF000000"/>
      <name val="Trebuchet MS"/>
      <charset val="1"/>
    </font>
    <font>
      <sz val="10"/>
      <name val="Trebuchet MS"/>
      <charset val="1"/>
    </font>
    <font>
      <b/>
      <sz val="18"/>
      <color theme="4" tint="-0.249977111117893"/>
      <name val="Trebuchet MS"/>
      <charset val="1"/>
    </font>
    <font>
      <sz val="14"/>
      <name val="Trebuchet MS"/>
      <charset val="1"/>
    </font>
    <font>
      <sz val="8"/>
      <name val="Trebuchet MS"/>
      <charset val="1"/>
    </font>
    <font>
      <sz val="12"/>
      <name val="Trebuchet MS"/>
      <charset val="1"/>
    </font>
    <font>
      <b/>
      <sz val="16"/>
      <color rgb="FF333333"/>
      <name val="Arial"/>
      <charset val="1"/>
    </font>
    <font>
      <b/>
      <sz val="12"/>
      <color rgb="FF333333"/>
      <name val="Trebuchet MS"/>
      <charset val="1"/>
    </font>
    <font>
      <b/>
      <sz val="8"/>
      <color rgb="FF333333"/>
      <name val="Trebuchet MS"/>
      <charset val="1"/>
    </font>
    <font>
      <b/>
      <sz val="8"/>
      <name val="Trebuchet MS"/>
      <charset val="1"/>
    </font>
    <font>
      <b/>
      <sz val="10"/>
      <color rgb="FF333333"/>
      <name val="Trebuchet MS"/>
      <charset val="1"/>
    </font>
    <font>
      <sz val="8"/>
      <color theme="4" tint="-0.249977111117893"/>
      <name val="Trebuchet MS"/>
      <charset val="1"/>
    </font>
    <font>
      <u/>
      <sz val="10"/>
      <color rgb="FF0000FF"/>
      <name val="Arial"/>
      <charset val="1"/>
    </font>
    <font>
      <u/>
      <sz val="8"/>
      <color theme="1" tint="0.3498947111423078"/>
      <name val="Trebuchet MS"/>
      <charset val="1"/>
    </font>
    <font>
      <sz val="8"/>
      <color theme="1" tint="0.3498947111423078"/>
      <name val="Trebuchet MS"/>
      <charset val="1"/>
    </font>
    <font>
      <sz val="10"/>
      <color theme="1" tint="0.3498947111423078"/>
      <name val="Trebuchet MS"/>
      <charset val="1"/>
    </font>
    <font>
      <sz val="1"/>
      <color rgb="FFFFFFFF"/>
      <name val="Trebuchet MS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87182226020086"/>
        <bgColor rgb="FFC0C0C0"/>
      </patternFill>
    </fill>
    <fill>
      <patternFill patternType="solid">
        <fgColor theme="4" tint="0.79989013336588644"/>
        <bgColor rgb="FFF0F0F0"/>
      </patternFill>
    </fill>
    <fill>
      <patternFill patternType="solid">
        <fgColor theme="4" tint="0.39988402966399123"/>
        <bgColor rgb="FFDCBFB0"/>
      </patternFill>
    </fill>
    <fill>
      <patternFill patternType="solid">
        <fgColor theme="0" tint="-0.249977111117893"/>
        <bgColor rgb="FFC0C0C0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rgb="FFC0C0C0"/>
      </bottom>
      <diagonal/>
    </border>
    <border>
      <left/>
      <right style="thin">
        <color auto="1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rgb="FFC0C0C0"/>
      </top>
      <bottom style="thin">
        <color auto="1"/>
      </bottom>
      <diagonal/>
    </border>
    <border>
      <left/>
      <right style="thin">
        <color auto="1"/>
      </right>
      <top style="thin">
        <color rgb="FFC0C0C0"/>
      </top>
      <bottom style="thin">
        <color auto="1"/>
      </bottom>
      <diagonal/>
    </border>
    <border>
      <left/>
      <right style="thin">
        <color rgb="FFC0C0C0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/>
      <bottom style="thin">
        <color auto="1"/>
      </bottom>
      <diagonal/>
    </border>
    <border>
      <left style="thin">
        <color rgb="FFC0C0C0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Border="0">
      <alignment vertical="top"/>
    </xf>
  </cellStyleXfs>
  <cellXfs count="51">
    <xf numFmtId="0" fontId="0" fillId="0" borderId="0" xfId="0"/>
    <xf numFmtId="0" fontId="8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right"/>
    </xf>
    <xf numFmtId="0" fontId="1" fillId="0" borderId="1" xfId="0" applyFont="1" applyBorder="1" applyAlignment="1" applyProtection="1">
      <alignment horizontal="left"/>
      <protection locked="0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1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9" fillId="3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left" vertical="center" shrinkToFit="1"/>
    </xf>
    <xf numFmtId="0" fontId="1" fillId="0" borderId="9" xfId="0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 shrinkToFit="1"/>
    </xf>
    <xf numFmtId="0" fontId="1" fillId="0" borderId="16" xfId="0" applyFont="1" applyBorder="1" applyAlignment="1">
      <alignment vertical="center" shrinkToFit="1"/>
    </xf>
    <xf numFmtId="0" fontId="4" fillId="5" borderId="17" xfId="0" applyFont="1" applyFill="1" applyBorder="1" applyAlignment="1">
      <alignment vertical="center" shrinkToFit="1"/>
    </xf>
    <xf numFmtId="0" fontId="4" fillId="5" borderId="18" xfId="0" applyFont="1" applyFill="1" applyBorder="1" applyAlignment="1">
      <alignment vertical="center" shrinkToFit="1"/>
    </xf>
    <xf numFmtId="0" fontId="4" fillId="5" borderId="19" xfId="0" applyFont="1" applyFill="1" applyBorder="1" applyAlignment="1">
      <alignment horizontal="center" vertical="center" shrinkToFit="1"/>
    </xf>
    <xf numFmtId="0" fontId="4" fillId="5" borderId="20" xfId="0" applyFont="1" applyFill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 shrinkToFit="1"/>
    </xf>
    <xf numFmtId="0" fontId="4" fillId="5" borderId="1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1" fillId="0" borderId="0" xfId="0" applyFont="1"/>
    <xf numFmtId="0" fontId="13" fillId="0" borderId="5" xfId="1" applyFont="1" applyBorder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9" fillId="2" borderId="2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ill>
        <patternFill>
          <bgColor rgb="FFF0F0F0"/>
        </patternFill>
      </fill>
    </dxf>
    <dxf>
      <fill>
        <patternFill>
          <bgColor rgb="FFF0F0F0"/>
        </patternFill>
      </fill>
    </dxf>
    <dxf>
      <fill>
        <patternFill>
          <bgColor rgb="FFF0F0F0"/>
        </patternFill>
      </fill>
    </dxf>
    <dxf>
      <fill>
        <patternFill>
          <bgColor rgb="FFF0F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64A34"/>
      <rgbColor rgb="FFF0F0F0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DFD8"/>
      <rgbColor rgb="FFFFFF99"/>
      <rgbColor rgb="FF99CCFF"/>
      <rgbColor rgb="FFFF99CC"/>
      <rgbColor rgb="FFCC99FF"/>
      <rgbColor rgb="FFDCBFB0"/>
      <rgbColor rgb="FF3366FF"/>
      <rgbColor rgb="FF33CCCC"/>
      <rgbColor rgb="FF99CC00"/>
      <rgbColor rgb="FFFFCC00"/>
      <rgbColor rgb="FFFF9900"/>
      <rgbColor rgb="FFFF6600"/>
      <rgbColor rgb="FF595959"/>
      <rgbColor rgb="FFCB9E8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42-Copper">
      <a:dk1>
        <a:srgbClr val="000000"/>
      </a:dk1>
      <a:lt1>
        <a:srgbClr val="FFFFFF"/>
      </a:lt1>
      <a:dk2>
        <a:srgbClr val="3A5D9C"/>
      </a:dk2>
      <a:lt2>
        <a:srgbClr val="EEECE2"/>
      </a:lt2>
      <a:accent1>
        <a:srgbClr val="9D6245"/>
      </a:accent1>
      <a:accent2>
        <a:srgbClr val="5F7FB9"/>
      </a:accent2>
      <a:accent3>
        <a:srgbClr val="B95F5F"/>
      </a:accent3>
      <a:accent4>
        <a:srgbClr val="B95FAE"/>
      </a:accent4>
      <a:accent5>
        <a:srgbClr val="5FB95F"/>
      </a:accent5>
      <a:accent6>
        <a:srgbClr val="795FB9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O40"/>
  <sheetViews>
    <sheetView showGridLines="0" tabSelected="1" zoomScale="87" zoomScaleNormal="100" workbookViewId="0">
      <selection activeCell="AC11" sqref="AC11"/>
    </sheetView>
  </sheetViews>
  <sheetFormatPr defaultColWidth="9.140625" defaultRowHeight="15" x14ac:dyDescent="0.3"/>
  <cols>
    <col min="1" max="1" width="2" customWidth="1"/>
    <col min="2" max="2" width="8.42578125" customWidth="1"/>
    <col min="3" max="3" width="15.42578125" customWidth="1"/>
    <col min="4" max="34" width="3.28515625" customWidth="1"/>
    <col min="35" max="38" width="4.28515625" customWidth="1"/>
  </cols>
  <sheetData>
    <row r="1" spans="2:41" s="11" customFormat="1" ht="26.25" customHeight="1" x14ac:dyDescent="0.3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0" t="s">
        <v>19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2:41" ht="18" customHeight="1" x14ac:dyDescent="0.3">
      <c r="B2" t="s">
        <v>1</v>
      </c>
      <c r="C2" s="9"/>
      <c r="D2" s="9"/>
      <c r="E2" s="9"/>
      <c r="F2" s="9"/>
      <c r="G2" s="9"/>
      <c r="H2" s="9"/>
      <c r="J2" s="8" t="s">
        <v>2</v>
      </c>
      <c r="K2" s="8"/>
      <c r="L2" s="8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14"/>
      <c r="Y2" s="14"/>
      <c r="Z2" s="6" t="s">
        <v>3</v>
      </c>
      <c r="AA2" s="6"/>
      <c r="AB2" s="6"/>
      <c r="AC2" s="5" t="s">
        <v>4</v>
      </c>
      <c r="AD2" s="5"/>
      <c r="AE2" s="5"/>
      <c r="AF2" s="5"/>
      <c r="AG2" s="5"/>
      <c r="AH2" s="5"/>
      <c r="AN2" s="14" t="s">
        <v>5</v>
      </c>
      <c r="AO2" s="15" t="s">
        <v>6</v>
      </c>
    </row>
    <row r="3" spans="2:41" ht="18" customHeight="1" x14ac:dyDescent="0.3">
      <c r="B3" t="s">
        <v>7</v>
      </c>
      <c r="C3" s="13"/>
      <c r="D3" s="16"/>
      <c r="E3" s="16"/>
      <c r="J3" s="8" t="s">
        <v>8</v>
      </c>
      <c r="K3" s="8"/>
      <c r="L3" s="8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Y3" s="17"/>
      <c r="Z3" s="6" t="s">
        <v>9</v>
      </c>
      <c r="AA3" s="6"/>
      <c r="AB3" s="6"/>
      <c r="AC3" s="3">
        <v>2025</v>
      </c>
      <c r="AD3" s="3"/>
      <c r="AE3" s="3"/>
      <c r="AF3" s="3"/>
      <c r="AG3" s="3"/>
      <c r="AH3" s="3"/>
    </row>
    <row r="5" spans="2:41" ht="12" customHeight="1" x14ac:dyDescent="0.3">
      <c r="B5" s="2" t="s">
        <v>10</v>
      </c>
      <c r="C5" s="2"/>
      <c r="D5" s="1" t="s">
        <v>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2" t="s">
        <v>11</v>
      </c>
      <c r="AJ5" s="2"/>
      <c r="AK5" s="2"/>
      <c r="AL5" s="2"/>
    </row>
    <row r="6" spans="2:41" ht="17.25" customHeight="1" x14ac:dyDescent="0.3">
      <c r="B6" s="2"/>
      <c r="C6" s="2"/>
      <c r="D6" s="18" t="str">
        <f>IF(D7="","",INDEX({"Su";"M";"Tu";"W";"Th";"F";"Sa"},WEEKDAY(D7,1)))</f>
        <v>F</v>
      </c>
      <c r="E6" s="18" t="str">
        <f>IF(E7="","",INDEX({"Su";"M";"Tu";"W";"Th";"F";"Sa"},WEEKDAY(E7,1)))</f>
        <v>Sa</v>
      </c>
      <c r="F6" s="18" t="str">
        <f>IF(F7="","",INDEX({"Su";"M";"Tu";"W";"Th";"F";"Sa"},WEEKDAY(F7,1)))</f>
        <v>Su</v>
      </c>
      <c r="G6" s="18" t="str">
        <f>IF(G7="","",INDEX({"Su";"M";"Tu";"W";"Th";"F";"Sa"},WEEKDAY(G7,1)))</f>
        <v>M</v>
      </c>
      <c r="H6" s="18" t="str">
        <f>IF(H7="","",INDEX({"Su";"M";"Tu";"W";"Th";"F";"Sa"},WEEKDAY(H7,1)))</f>
        <v>Tu</v>
      </c>
      <c r="I6" s="18" t="str">
        <f>IF(I7="","",INDEX({"Su";"M";"Tu";"W";"Th";"F";"Sa"},WEEKDAY(I7,1)))</f>
        <v>W</v>
      </c>
      <c r="J6" s="18" t="str">
        <f>IF(J7="","",INDEX({"Su";"M";"Tu";"W";"Th";"F";"Sa"},WEEKDAY(J7,1)))</f>
        <v>Th</v>
      </c>
      <c r="K6" s="18" t="str">
        <f>IF(K7="","",INDEX({"Su";"M";"Tu";"W";"Th";"F";"Sa"},WEEKDAY(K7,1)))</f>
        <v>F</v>
      </c>
      <c r="L6" s="18" t="str">
        <f>IF(L7="","",INDEX({"Su";"M";"Tu";"W";"Th";"F";"Sa"},WEEKDAY(L7,1)))</f>
        <v>Sa</v>
      </c>
      <c r="M6" s="18" t="str">
        <f>IF(M7="","",INDEX({"Su";"M";"Tu";"W";"Th";"F";"Sa"},WEEKDAY(M7,1)))</f>
        <v>Su</v>
      </c>
      <c r="N6" s="18" t="str">
        <f>IF(N7="","",INDEX({"Su";"M";"Tu";"W";"Th";"F";"Sa"},WEEKDAY(N7,1)))</f>
        <v>M</v>
      </c>
      <c r="O6" s="18" t="str">
        <f>IF(O7="","",INDEX({"Su";"M";"Tu";"W";"Th";"F";"Sa"},WEEKDAY(O7,1)))</f>
        <v>Tu</v>
      </c>
      <c r="P6" s="18" t="str">
        <f>IF(P7="","",INDEX({"Su";"M";"Tu";"W";"Th";"F";"Sa"},WEEKDAY(P7,1)))</f>
        <v>W</v>
      </c>
      <c r="Q6" s="18" t="str">
        <f>IF(Q7="","",INDEX({"Su";"M";"Tu";"W";"Th";"F";"Sa"},WEEKDAY(Q7,1)))</f>
        <v>Th</v>
      </c>
      <c r="R6" s="18" t="str">
        <f>IF(R7="","",INDEX({"Su";"M";"Tu";"W";"Th";"F";"Sa"},WEEKDAY(R7,1)))</f>
        <v>F</v>
      </c>
      <c r="S6" s="18" t="str">
        <f>IF(S7="","",INDEX({"Su";"M";"Tu";"W";"Th";"F";"Sa"},WEEKDAY(S7,1)))</f>
        <v>Sa</v>
      </c>
      <c r="T6" s="18" t="str">
        <f>IF(T7="","",INDEX({"Su";"M";"Tu";"W";"Th";"F";"Sa"},WEEKDAY(T7,1)))</f>
        <v>Su</v>
      </c>
      <c r="U6" s="18" t="str">
        <f>IF(U7="","",INDEX({"Su";"M";"Tu";"W";"Th";"F";"Sa"},WEEKDAY(U7,1)))</f>
        <v>M</v>
      </c>
      <c r="V6" s="18" t="str">
        <f>IF(V7="","",INDEX({"Su";"M";"Tu";"W";"Th";"F";"Sa"},WEEKDAY(V7,1)))</f>
        <v>Tu</v>
      </c>
      <c r="W6" s="18" t="str">
        <f>IF(W7="","",INDEX({"Su";"M";"Tu";"W";"Th";"F";"Sa"},WEEKDAY(W7,1)))</f>
        <v>W</v>
      </c>
      <c r="X6" s="18" t="str">
        <f>IF(X7="","",INDEX({"Su";"M";"Tu";"W";"Th";"F";"Sa"},WEEKDAY(X7,1)))</f>
        <v>Th</v>
      </c>
      <c r="Y6" s="18" t="str">
        <f>IF(Y7="","",INDEX({"Su";"M";"Tu";"W";"Th";"F";"Sa"},WEEKDAY(Y7,1)))</f>
        <v>F</v>
      </c>
      <c r="Z6" s="18" t="str">
        <f>IF(Z7="","",INDEX({"Su";"M";"Tu";"W";"Th";"F";"Sa"},WEEKDAY(Z7,1)))</f>
        <v>Sa</v>
      </c>
      <c r="AA6" s="18" t="str">
        <f>IF(AA7="","",INDEX({"Su";"M";"Tu";"W";"Th";"F";"Sa"},WEEKDAY(AA7,1)))</f>
        <v>Su</v>
      </c>
      <c r="AB6" s="18" t="str">
        <f>IF(AB7="","",INDEX({"Su";"M";"Tu";"W";"Th";"F";"Sa"},WEEKDAY(AB7,1)))</f>
        <v>M</v>
      </c>
      <c r="AC6" s="18" t="str">
        <f>IF(AC7="","",INDEX({"Su";"M";"Tu";"W";"Th";"F";"Sa"},WEEKDAY(AC7,1)))</f>
        <v>Tu</v>
      </c>
      <c r="AD6" s="18" t="str">
        <f>IF(AD7="","",INDEX({"Su";"M";"Tu";"W";"Th";"F";"Sa"},WEEKDAY(AD7,1)))</f>
        <v>W</v>
      </c>
      <c r="AE6" s="18" t="str">
        <f>IF(AE7="","",INDEX({"Su";"M";"Tu";"W";"Th";"F";"Sa"},WEEKDAY(AE7,1)))</f>
        <v>Th</v>
      </c>
      <c r="AF6" s="18" t="str">
        <f>IF(AF7="","",INDEX({"Su";"M";"Tu";"W";"Th";"F";"Sa"},WEEKDAY(AF7,1)))</f>
        <v>F</v>
      </c>
      <c r="AG6" s="18" t="str">
        <f>IF(AG7="","",INDEX({"Su";"M";"Tu";"W";"Th";"F";"Sa"},WEEKDAY(AG7,1)))</f>
        <v>Sa</v>
      </c>
      <c r="AH6" s="18" t="str">
        <f>IF(AH7="","",INDEX({"Su";"M";"Tu";"W";"Th";"F";"Sa"},WEEKDAY(AH7,1)))</f>
        <v>Su</v>
      </c>
      <c r="AI6" s="2"/>
      <c r="AJ6" s="2"/>
      <c r="AK6" s="2"/>
      <c r="AL6" s="2"/>
    </row>
    <row r="7" spans="2:41" ht="12" customHeight="1" x14ac:dyDescent="0.3">
      <c r="B7" s="19" t="s">
        <v>12</v>
      </c>
      <c r="C7" s="20" t="s">
        <v>13</v>
      </c>
      <c r="D7" s="21">
        <f>DATE(AC3,INDEX({1,2,3,4,5,6,7,8,9,10,11,12},MATCH(AC2,monthNames,0)),1)</f>
        <v>45870</v>
      </c>
      <c r="E7" s="21">
        <f t="shared" ref="E7:AE7" si="0">D7+1</f>
        <v>45871</v>
      </c>
      <c r="F7" s="21">
        <f t="shared" si="0"/>
        <v>45872</v>
      </c>
      <c r="G7" s="21">
        <f t="shared" si="0"/>
        <v>45873</v>
      </c>
      <c r="H7" s="21">
        <f t="shared" si="0"/>
        <v>45874</v>
      </c>
      <c r="I7" s="21">
        <f t="shared" si="0"/>
        <v>45875</v>
      </c>
      <c r="J7" s="21">
        <f t="shared" si="0"/>
        <v>45876</v>
      </c>
      <c r="K7" s="21">
        <f t="shared" si="0"/>
        <v>45877</v>
      </c>
      <c r="L7" s="21">
        <f t="shared" si="0"/>
        <v>45878</v>
      </c>
      <c r="M7" s="21">
        <f t="shared" si="0"/>
        <v>45879</v>
      </c>
      <c r="N7" s="21">
        <f t="shared" si="0"/>
        <v>45880</v>
      </c>
      <c r="O7" s="21">
        <f t="shared" si="0"/>
        <v>45881</v>
      </c>
      <c r="P7" s="21">
        <f t="shared" si="0"/>
        <v>45882</v>
      </c>
      <c r="Q7" s="21">
        <f t="shared" si="0"/>
        <v>45883</v>
      </c>
      <c r="R7" s="21">
        <f t="shared" si="0"/>
        <v>45884</v>
      </c>
      <c r="S7" s="21">
        <f t="shared" si="0"/>
        <v>45885</v>
      </c>
      <c r="T7" s="21">
        <f t="shared" si="0"/>
        <v>45886</v>
      </c>
      <c r="U7" s="21">
        <f t="shared" si="0"/>
        <v>45887</v>
      </c>
      <c r="V7" s="21">
        <f t="shared" si="0"/>
        <v>45888</v>
      </c>
      <c r="W7" s="21">
        <f t="shared" si="0"/>
        <v>45889</v>
      </c>
      <c r="X7" s="21">
        <f t="shared" si="0"/>
        <v>45890</v>
      </c>
      <c r="Y7" s="21">
        <f t="shared" si="0"/>
        <v>45891</v>
      </c>
      <c r="Z7" s="21">
        <f t="shared" si="0"/>
        <v>45892</v>
      </c>
      <c r="AA7" s="21">
        <f t="shared" si="0"/>
        <v>45893</v>
      </c>
      <c r="AB7" s="21">
        <f t="shared" si="0"/>
        <v>45894</v>
      </c>
      <c r="AC7" s="21">
        <f t="shared" si="0"/>
        <v>45895</v>
      </c>
      <c r="AD7" s="21">
        <f t="shared" si="0"/>
        <v>45896</v>
      </c>
      <c r="AE7" s="21">
        <f t="shared" si="0"/>
        <v>45897</v>
      </c>
      <c r="AF7" s="21">
        <f>IF(MONTH($AE7+1)&gt;MONTH($D$7),"",$AE7+1)</f>
        <v>45898</v>
      </c>
      <c r="AG7" s="21">
        <f>IF(MONTH($AE7+2)&gt;MONTH($D$7),"",$AE7+2)</f>
        <v>45899</v>
      </c>
      <c r="AH7" s="21">
        <f>IF(MONTH($AE7+3)&gt;MONTH($D$7),"",$AE7+3)</f>
        <v>45900</v>
      </c>
      <c r="AI7" s="22" t="s">
        <v>21</v>
      </c>
      <c r="AJ7" s="23" t="s">
        <v>14</v>
      </c>
      <c r="AK7" s="23" t="s">
        <v>15</v>
      </c>
      <c r="AL7" s="24" t="s">
        <v>16</v>
      </c>
    </row>
    <row r="8" spans="2:41" ht="16.5" customHeight="1" x14ac:dyDescent="0.3">
      <c r="B8" s="25">
        <v>1</v>
      </c>
      <c r="C8" s="26"/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9"/>
      <c r="AI8" s="30">
        <f t="shared" ref="AI8:AI38" si="1">COUNTIF(D8:AH8,"*"&amp;AI$7&amp;"*")</f>
        <v>0</v>
      </c>
      <c r="AJ8" s="31">
        <f t="shared" ref="AJ8:AJ38" si="2">COUNTIF(D8:AH8,"*"&amp;AJ$7&amp;"*")</f>
        <v>0</v>
      </c>
      <c r="AK8" s="31">
        <f t="shared" ref="AK8:AK38" si="3">COUNTIF(D8:AH8,"*"&amp;AK$7&amp;"*")</f>
        <v>0</v>
      </c>
      <c r="AL8" s="32">
        <f t="shared" ref="AL8:AL38" si="4">COUNTIF(D8:AH8,"*"&amp;AL$7&amp;"*")</f>
        <v>0</v>
      </c>
    </row>
    <row r="9" spans="2:41" ht="16.5" customHeight="1" x14ac:dyDescent="0.3">
      <c r="B9" s="33">
        <v>2</v>
      </c>
      <c r="C9" s="34"/>
      <c r="D9" s="27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9"/>
      <c r="AI9" s="30">
        <f t="shared" si="1"/>
        <v>0</v>
      </c>
      <c r="AJ9" s="31">
        <f t="shared" si="2"/>
        <v>0</v>
      </c>
      <c r="AK9" s="31">
        <f t="shared" si="3"/>
        <v>0</v>
      </c>
      <c r="AL9" s="32">
        <f t="shared" si="4"/>
        <v>0</v>
      </c>
    </row>
    <row r="10" spans="2:41" ht="16.5" customHeight="1" x14ac:dyDescent="0.3">
      <c r="B10" s="33">
        <v>3</v>
      </c>
      <c r="C10" s="34"/>
      <c r="D10" s="27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/>
      <c r="AI10" s="30">
        <f t="shared" si="1"/>
        <v>0</v>
      </c>
      <c r="AJ10" s="31">
        <f t="shared" si="2"/>
        <v>0</v>
      </c>
      <c r="AK10" s="31">
        <f t="shared" si="3"/>
        <v>0</v>
      </c>
      <c r="AL10" s="32">
        <f t="shared" si="4"/>
        <v>0</v>
      </c>
    </row>
    <row r="11" spans="2:41" ht="16.5" customHeight="1" x14ac:dyDescent="0.3">
      <c r="B11" s="33">
        <v>4</v>
      </c>
      <c r="C11" s="34"/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30">
        <f t="shared" si="1"/>
        <v>0</v>
      </c>
      <c r="AJ11" s="31">
        <f t="shared" si="2"/>
        <v>0</v>
      </c>
      <c r="AK11" s="31">
        <f t="shared" si="3"/>
        <v>0</v>
      </c>
      <c r="AL11" s="32">
        <f t="shared" si="4"/>
        <v>0</v>
      </c>
    </row>
    <row r="12" spans="2:41" ht="16.5" customHeight="1" x14ac:dyDescent="0.3">
      <c r="B12" s="33">
        <v>5</v>
      </c>
      <c r="C12" s="34"/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9"/>
      <c r="AI12" s="30">
        <f t="shared" si="1"/>
        <v>0</v>
      </c>
      <c r="AJ12" s="31">
        <f t="shared" si="2"/>
        <v>0</v>
      </c>
      <c r="AK12" s="31">
        <f t="shared" si="3"/>
        <v>0</v>
      </c>
      <c r="AL12" s="32">
        <f t="shared" si="4"/>
        <v>0</v>
      </c>
    </row>
    <row r="13" spans="2:41" ht="16.5" customHeight="1" x14ac:dyDescent="0.3">
      <c r="B13" s="33">
        <v>6</v>
      </c>
      <c r="C13" s="34"/>
      <c r="D13" s="2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9"/>
      <c r="AI13" s="30">
        <f t="shared" si="1"/>
        <v>0</v>
      </c>
      <c r="AJ13" s="31">
        <f t="shared" si="2"/>
        <v>0</v>
      </c>
      <c r="AK13" s="31">
        <f t="shared" si="3"/>
        <v>0</v>
      </c>
      <c r="AL13" s="32">
        <f t="shared" si="4"/>
        <v>0</v>
      </c>
    </row>
    <row r="14" spans="2:41" ht="16.5" customHeight="1" x14ac:dyDescent="0.3">
      <c r="B14" s="33">
        <v>7</v>
      </c>
      <c r="C14" s="34"/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9"/>
      <c r="AI14" s="30">
        <f t="shared" si="1"/>
        <v>0</v>
      </c>
      <c r="AJ14" s="31">
        <f t="shared" si="2"/>
        <v>0</v>
      </c>
      <c r="AK14" s="31">
        <f t="shared" si="3"/>
        <v>0</v>
      </c>
      <c r="AL14" s="32">
        <f t="shared" si="4"/>
        <v>0</v>
      </c>
    </row>
    <row r="15" spans="2:41" ht="16.5" customHeight="1" x14ac:dyDescent="0.3">
      <c r="B15" s="33">
        <v>8</v>
      </c>
      <c r="C15" s="34"/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9"/>
      <c r="AI15" s="30">
        <f t="shared" si="1"/>
        <v>0</v>
      </c>
      <c r="AJ15" s="31">
        <f t="shared" si="2"/>
        <v>0</v>
      </c>
      <c r="AK15" s="31">
        <f t="shared" si="3"/>
        <v>0</v>
      </c>
      <c r="AL15" s="32">
        <f t="shared" si="4"/>
        <v>0</v>
      </c>
    </row>
    <row r="16" spans="2:41" ht="16.5" customHeight="1" x14ac:dyDescent="0.3">
      <c r="B16" s="33">
        <v>9</v>
      </c>
      <c r="C16" s="34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9"/>
      <c r="AI16" s="30">
        <f t="shared" si="1"/>
        <v>0</v>
      </c>
      <c r="AJ16" s="31">
        <f t="shared" si="2"/>
        <v>0</v>
      </c>
      <c r="AK16" s="31">
        <f t="shared" si="3"/>
        <v>0</v>
      </c>
      <c r="AL16" s="32">
        <f t="shared" si="4"/>
        <v>0</v>
      </c>
    </row>
    <row r="17" spans="2:38" ht="16.5" customHeight="1" x14ac:dyDescent="0.3">
      <c r="B17" s="33">
        <v>10</v>
      </c>
      <c r="C17" s="34"/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9"/>
      <c r="AI17" s="30">
        <f t="shared" si="1"/>
        <v>0</v>
      </c>
      <c r="AJ17" s="31">
        <f t="shared" si="2"/>
        <v>0</v>
      </c>
      <c r="AK17" s="31">
        <f t="shared" si="3"/>
        <v>0</v>
      </c>
      <c r="AL17" s="32">
        <f t="shared" si="4"/>
        <v>0</v>
      </c>
    </row>
    <row r="18" spans="2:38" ht="16.5" customHeight="1" x14ac:dyDescent="0.3">
      <c r="B18" s="33">
        <v>11</v>
      </c>
      <c r="C18" s="34"/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9"/>
      <c r="AI18" s="30">
        <f t="shared" si="1"/>
        <v>0</v>
      </c>
      <c r="AJ18" s="31">
        <f t="shared" si="2"/>
        <v>0</v>
      </c>
      <c r="AK18" s="31">
        <f t="shared" si="3"/>
        <v>0</v>
      </c>
      <c r="AL18" s="32">
        <f t="shared" si="4"/>
        <v>0</v>
      </c>
    </row>
    <row r="19" spans="2:38" ht="16.5" customHeight="1" x14ac:dyDescent="0.3">
      <c r="B19" s="33">
        <v>12</v>
      </c>
      <c r="C19" s="34"/>
      <c r="D19" s="27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9"/>
      <c r="AI19" s="30">
        <f t="shared" si="1"/>
        <v>0</v>
      </c>
      <c r="AJ19" s="31">
        <f t="shared" si="2"/>
        <v>0</v>
      </c>
      <c r="AK19" s="31">
        <f t="shared" si="3"/>
        <v>0</v>
      </c>
      <c r="AL19" s="32">
        <f t="shared" si="4"/>
        <v>0</v>
      </c>
    </row>
    <row r="20" spans="2:38" ht="16.5" customHeight="1" x14ac:dyDescent="0.3">
      <c r="B20" s="33">
        <v>13</v>
      </c>
      <c r="C20" s="34"/>
      <c r="D20" s="27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9"/>
      <c r="AI20" s="30">
        <f t="shared" si="1"/>
        <v>0</v>
      </c>
      <c r="AJ20" s="31">
        <f t="shared" si="2"/>
        <v>0</v>
      </c>
      <c r="AK20" s="31">
        <f t="shared" si="3"/>
        <v>0</v>
      </c>
      <c r="AL20" s="32">
        <f t="shared" si="4"/>
        <v>0</v>
      </c>
    </row>
    <row r="21" spans="2:38" ht="16.5" customHeight="1" x14ac:dyDescent="0.3">
      <c r="B21" s="33">
        <v>14</v>
      </c>
      <c r="C21" s="34"/>
      <c r="D21" s="27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9"/>
      <c r="AI21" s="30">
        <f t="shared" si="1"/>
        <v>0</v>
      </c>
      <c r="AJ21" s="31">
        <f t="shared" si="2"/>
        <v>0</v>
      </c>
      <c r="AK21" s="31">
        <f t="shared" si="3"/>
        <v>0</v>
      </c>
      <c r="AL21" s="32">
        <f t="shared" si="4"/>
        <v>0</v>
      </c>
    </row>
    <row r="22" spans="2:38" ht="16.5" customHeight="1" x14ac:dyDescent="0.3">
      <c r="B22" s="33">
        <v>15</v>
      </c>
      <c r="C22" s="34"/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9"/>
      <c r="AI22" s="30">
        <f t="shared" si="1"/>
        <v>0</v>
      </c>
      <c r="AJ22" s="31">
        <f t="shared" si="2"/>
        <v>0</v>
      </c>
      <c r="AK22" s="31">
        <f t="shared" si="3"/>
        <v>0</v>
      </c>
      <c r="AL22" s="32">
        <f t="shared" si="4"/>
        <v>0</v>
      </c>
    </row>
    <row r="23" spans="2:38" ht="16.5" customHeight="1" x14ac:dyDescent="0.3">
      <c r="B23" s="33">
        <v>16</v>
      </c>
      <c r="C23" s="34"/>
      <c r="D23" s="27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9"/>
      <c r="AI23" s="30">
        <f t="shared" si="1"/>
        <v>0</v>
      </c>
      <c r="AJ23" s="31">
        <f t="shared" si="2"/>
        <v>0</v>
      </c>
      <c r="AK23" s="31">
        <f t="shared" si="3"/>
        <v>0</v>
      </c>
      <c r="AL23" s="32">
        <f t="shared" si="4"/>
        <v>0</v>
      </c>
    </row>
    <row r="24" spans="2:38" ht="16.5" customHeight="1" x14ac:dyDescent="0.3">
      <c r="B24" s="33">
        <v>17</v>
      </c>
      <c r="C24" s="34"/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9"/>
      <c r="AI24" s="30">
        <f t="shared" si="1"/>
        <v>0</v>
      </c>
      <c r="AJ24" s="31">
        <f t="shared" si="2"/>
        <v>0</v>
      </c>
      <c r="AK24" s="31">
        <f t="shared" si="3"/>
        <v>0</v>
      </c>
      <c r="AL24" s="32">
        <f t="shared" si="4"/>
        <v>0</v>
      </c>
    </row>
    <row r="25" spans="2:38" ht="16.5" customHeight="1" x14ac:dyDescent="0.3">
      <c r="B25" s="33">
        <v>18</v>
      </c>
      <c r="C25" s="34"/>
      <c r="D25" s="2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9"/>
      <c r="AI25" s="30">
        <f t="shared" si="1"/>
        <v>0</v>
      </c>
      <c r="AJ25" s="31">
        <f t="shared" si="2"/>
        <v>0</v>
      </c>
      <c r="AK25" s="31">
        <f t="shared" si="3"/>
        <v>0</v>
      </c>
      <c r="AL25" s="32">
        <f t="shared" si="4"/>
        <v>0</v>
      </c>
    </row>
    <row r="26" spans="2:38" ht="16.5" customHeight="1" x14ac:dyDescent="0.3">
      <c r="B26" s="33">
        <v>19</v>
      </c>
      <c r="C26" s="34"/>
      <c r="D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9"/>
      <c r="AI26" s="30">
        <f t="shared" si="1"/>
        <v>0</v>
      </c>
      <c r="AJ26" s="31">
        <f t="shared" si="2"/>
        <v>0</v>
      </c>
      <c r="AK26" s="31">
        <f t="shared" si="3"/>
        <v>0</v>
      </c>
      <c r="AL26" s="32">
        <f t="shared" si="4"/>
        <v>0</v>
      </c>
    </row>
    <row r="27" spans="2:38" ht="16.5" customHeight="1" x14ac:dyDescent="0.3">
      <c r="B27" s="33">
        <v>20</v>
      </c>
      <c r="C27" s="34"/>
      <c r="D27" s="2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9"/>
      <c r="AI27" s="30">
        <f t="shared" si="1"/>
        <v>0</v>
      </c>
      <c r="AJ27" s="31">
        <f t="shared" si="2"/>
        <v>0</v>
      </c>
      <c r="AK27" s="31">
        <f t="shared" si="3"/>
        <v>0</v>
      </c>
      <c r="AL27" s="32">
        <f t="shared" si="4"/>
        <v>0</v>
      </c>
    </row>
    <row r="28" spans="2:38" ht="16.5" customHeight="1" x14ac:dyDescent="0.3">
      <c r="B28" s="33">
        <v>21</v>
      </c>
      <c r="C28" s="34"/>
      <c r="D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9"/>
      <c r="AI28" s="30">
        <f t="shared" si="1"/>
        <v>0</v>
      </c>
      <c r="AJ28" s="31">
        <f t="shared" si="2"/>
        <v>0</v>
      </c>
      <c r="AK28" s="31">
        <f t="shared" si="3"/>
        <v>0</v>
      </c>
      <c r="AL28" s="32">
        <f t="shared" si="4"/>
        <v>0</v>
      </c>
    </row>
    <row r="29" spans="2:38" ht="16.5" customHeight="1" x14ac:dyDescent="0.3">
      <c r="B29" s="33">
        <v>22</v>
      </c>
      <c r="C29" s="34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9"/>
      <c r="AI29" s="30">
        <f t="shared" si="1"/>
        <v>0</v>
      </c>
      <c r="AJ29" s="31">
        <f t="shared" si="2"/>
        <v>0</v>
      </c>
      <c r="AK29" s="31">
        <f t="shared" si="3"/>
        <v>0</v>
      </c>
      <c r="AL29" s="32">
        <f t="shared" si="4"/>
        <v>0</v>
      </c>
    </row>
    <row r="30" spans="2:38" ht="16.5" customHeight="1" x14ac:dyDescent="0.3">
      <c r="B30" s="33">
        <v>23</v>
      </c>
      <c r="C30" s="34"/>
      <c r="D30" s="2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9"/>
      <c r="AI30" s="30">
        <f t="shared" si="1"/>
        <v>0</v>
      </c>
      <c r="AJ30" s="31">
        <f t="shared" si="2"/>
        <v>0</v>
      </c>
      <c r="AK30" s="31">
        <f t="shared" si="3"/>
        <v>0</v>
      </c>
      <c r="AL30" s="32">
        <f t="shared" si="4"/>
        <v>0</v>
      </c>
    </row>
    <row r="31" spans="2:38" ht="16.5" customHeight="1" x14ac:dyDescent="0.3">
      <c r="B31" s="33">
        <v>24</v>
      </c>
      <c r="C31" s="34"/>
      <c r="D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9"/>
      <c r="AI31" s="30">
        <f t="shared" si="1"/>
        <v>0</v>
      </c>
      <c r="AJ31" s="31">
        <f t="shared" si="2"/>
        <v>0</v>
      </c>
      <c r="AK31" s="31">
        <f t="shared" si="3"/>
        <v>0</v>
      </c>
      <c r="AL31" s="32">
        <f t="shared" si="4"/>
        <v>0</v>
      </c>
    </row>
    <row r="32" spans="2:38" ht="16.5" customHeight="1" x14ac:dyDescent="0.3">
      <c r="B32" s="33">
        <v>25</v>
      </c>
      <c r="C32" s="34"/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9"/>
      <c r="AI32" s="30">
        <f t="shared" si="1"/>
        <v>0</v>
      </c>
      <c r="AJ32" s="31">
        <f t="shared" si="2"/>
        <v>0</v>
      </c>
      <c r="AK32" s="31">
        <f t="shared" si="3"/>
        <v>0</v>
      </c>
      <c r="AL32" s="32">
        <f t="shared" si="4"/>
        <v>0</v>
      </c>
    </row>
    <row r="33" spans="2:39" ht="16.5" customHeight="1" x14ac:dyDescent="0.3">
      <c r="B33" s="33">
        <v>26</v>
      </c>
      <c r="C33" s="34"/>
      <c r="D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9"/>
      <c r="AI33" s="30">
        <f t="shared" si="1"/>
        <v>0</v>
      </c>
      <c r="AJ33" s="31">
        <f t="shared" si="2"/>
        <v>0</v>
      </c>
      <c r="AK33" s="31">
        <f t="shared" si="3"/>
        <v>0</v>
      </c>
      <c r="AL33" s="32">
        <f t="shared" si="4"/>
        <v>0</v>
      </c>
    </row>
    <row r="34" spans="2:39" ht="16.5" customHeight="1" x14ac:dyDescent="0.3">
      <c r="B34" s="33">
        <v>27</v>
      </c>
      <c r="C34" s="34"/>
      <c r="D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9"/>
      <c r="AI34" s="30">
        <f t="shared" si="1"/>
        <v>0</v>
      </c>
      <c r="AJ34" s="31">
        <f t="shared" si="2"/>
        <v>0</v>
      </c>
      <c r="AK34" s="31">
        <f t="shared" si="3"/>
        <v>0</v>
      </c>
      <c r="AL34" s="32">
        <f t="shared" si="4"/>
        <v>0</v>
      </c>
    </row>
    <row r="35" spans="2:39" ht="16.5" customHeight="1" x14ac:dyDescent="0.3">
      <c r="B35" s="33">
        <v>28</v>
      </c>
      <c r="C35" s="34"/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9"/>
      <c r="AI35" s="30">
        <f t="shared" si="1"/>
        <v>0</v>
      </c>
      <c r="AJ35" s="31">
        <f t="shared" si="2"/>
        <v>0</v>
      </c>
      <c r="AK35" s="31">
        <f t="shared" si="3"/>
        <v>0</v>
      </c>
      <c r="AL35" s="32">
        <f t="shared" si="4"/>
        <v>0</v>
      </c>
    </row>
    <row r="36" spans="2:39" ht="16.5" customHeight="1" x14ac:dyDescent="0.3">
      <c r="B36" s="33">
        <v>29</v>
      </c>
      <c r="C36" s="34"/>
      <c r="D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9"/>
      <c r="AI36" s="30">
        <f t="shared" si="1"/>
        <v>0</v>
      </c>
      <c r="AJ36" s="31">
        <f t="shared" si="2"/>
        <v>0</v>
      </c>
      <c r="AK36" s="31">
        <f t="shared" si="3"/>
        <v>0</v>
      </c>
      <c r="AL36" s="32">
        <f t="shared" si="4"/>
        <v>0</v>
      </c>
    </row>
    <row r="37" spans="2:39" ht="16.5" customHeight="1" x14ac:dyDescent="0.3">
      <c r="B37" s="33">
        <v>30</v>
      </c>
      <c r="C37" s="34"/>
      <c r="D37" s="2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9"/>
      <c r="AI37" s="30">
        <f t="shared" ref="AI37" si="5">COUNTIF(D37:AH37,"*"&amp;AI$7&amp;"*")</f>
        <v>0</v>
      </c>
      <c r="AJ37" s="31">
        <f t="shared" ref="AJ37" si="6">COUNTIF(D37:AH37,"*"&amp;AJ$7&amp;"*")</f>
        <v>0</v>
      </c>
      <c r="AK37" s="31">
        <f t="shared" ref="AK37" si="7">COUNTIF(D37:AH37,"*"&amp;AK$7&amp;"*")</f>
        <v>0</v>
      </c>
      <c r="AL37" s="32">
        <f t="shared" ref="AL37" si="8">COUNTIF(D37:AH37,"*"&amp;AL$7&amp;"*")</f>
        <v>0</v>
      </c>
    </row>
    <row r="38" spans="2:39" ht="16.5" customHeight="1" x14ac:dyDescent="0.3">
      <c r="B38" s="33">
        <v>31</v>
      </c>
      <c r="C38" s="34"/>
      <c r="D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9"/>
      <c r="AI38" s="30">
        <f t="shared" si="1"/>
        <v>0</v>
      </c>
      <c r="AJ38" s="31">
        <f t="shared" si="2"/>
        <v>0</v>
      </c>
      <c r="AK38" s="31">
        <f t="shared" si="3"/>
        <v>0</v>
      </c>
      <c r="AL38" s="32">
        <f t="shared" si="4"/>
        <v>0</v>
      </c>
    </row>
    <row r="39" spans="2:39" s="16" customFormat="1" ht="11.25" customHeight="1" x14ac:dyDescent="0.3">
      <c r="B39" s="35"/>
      <c r="C39" s="36"/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9"/>
      <c r="AI39" s="40"/>
      <c r="AJ39" s="41"/>
      <c r="AK39" s="41"/>
      <c r="AL39" s="42"/>
      <c r="AM39" s="43" t="s">
        <v>17</v>
      </c>
    </row>
    <row r="40" spans="2:39" ht="12" customHeight="1" x14ac:dyDescent="0.3">
      <c r="B40" s="44"/>
      <c r="C40" s="44"/>
      <c r="D40" s="45"/>
      <c r="E40" s="46"/>
      <c r="F40" s="46"/>
      <c r="G40" s="46"/>
      <c r="AH40" s="47" t="s">
        <v>18</v>
      </c>
      <c r="AI40" s="48">
        <f>SUM(AI8:AI39)</f>
        <v>0</v>
      </c>
      <c r="AJ40" s="49">
        <f>SUM(AJ8:AJ39)</f>
        <v>0</v>
      </c>
      <c r="AK40" s="49">
        <f>SUM(AK8:AK39)</f>
        <v>0</v>
      </c>
      <c r="AL40" s="50">
        <f>SUM(AL8:AL39)</f>
        <v>0</v>
      </c>
    </row>
  </sheetData>
  <mergeCells count="13">
    <mergeCell ref="AI5:AL6"/>
    <mergeCell ref="J3:M3"/>
    <mergeCell ref="N3:W3"/>
    <mergeCell ref="Z3:AB3"/>
    <mergeCell ref="AC3:AH3"/>
    <mergeCell ref="B5:C6"/>
    <mergeCell ref="D5:AH5"/>
    <mergeCell ref="N1:AL1"/>
    <mergeCell ref="C2:H2"/>
    <mergeCell ref="J2:M2"/>
    <mergeCell ref="N2:W2"/>
    <mergeCell ref="Z2:AB2"/>
    <mergeCell ref="AC2:AH2"/>
  </mergeCells>
  <conditionalFormatting sqref="D7:AH7">
    <cfRule type="expression" dxfId="3" priority="2">
      <formula>OR(WEEKDAY(D$7,1)=IF($AO$2="Fri-Sat",6,1),IF($AO$2="Sun",0,WEEKDAY(D$7,1)=7))</formula>
    </cfRule>
    <cfRule type="cellIs" dxfId="2" priority="3" operator="equal">
      <formula>""</formula>
    </cfRule>
  </conditionalFormatting>
  <conditionalFormatting sqref="D8:AH38">
    <cfRule type="expression" dxfId="1" priority="4">
      <formula>OR(WEEKDAY(D$7)=IF($AO$2="Fri-Sat",6,1),IF($AO$2="Sun",0,WEEKDAY(D$7)=7))</formula>
    </cfRule>
    <cfRule type="expression" dxfId="0" priority="5">
      <formula>D$7=""</formula>
    </cfRule>
  </conditionalFormatting>
  <dataValidations count="2">
    <dataValidation type="list" allowBlank="1" showInputMessage="1" showErrorMessage="1" sqref="AO2" xr:uid="{00000000-0002-0000-0000-000000000000}">
      <formula1>"Sat-Sun,Fri-Sat,Sun"</formula1>
      <formula2>0</formula2>
    </dataValidation>
    <dataValidation type="list" allowBlank="1" showInputMessage="1" showErrorMessage="1" errorTitle="Invalid Month" error="Please enter a month such as January, February, etc. or select the month from the drop-down box." sqref="AC2" xr:uid="{00000000-0002-0000-0000-000001000000}">
      <formula1>"August,September,October,November,December,January,February,March,April,May,June,July"</formula1>
      <formula2>0</formula2>
    </dataValidation>
  </dataValidations>
  <printOptions horizontalCentered="1"/>
  <pageMargins left="0.25" right="0.25" top="0.25" bottom="0.25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MonthlyAttendance</vt:lpstr>
      <vt:lpstr>MonthlyAttendance!Print_Area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John Herald Gantuangco</cp:lastModifiedBy>
  <cp:revision>0</cp:revision>
  <dcterms:modified xsi:type="dcterms:W3CDTF">2025-06-10T10:38:27Z</dcterms:modified>
  <dc:language>en-US</dc:language>
</cp:coreProperties>
</file>